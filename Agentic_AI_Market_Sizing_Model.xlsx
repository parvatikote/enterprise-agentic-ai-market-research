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Published_Benchmarks" sheetId="2" r:id="rId6"/>
    <sheet state="visible" name="Forecast_Calculation" sheetId="3" r:id="rId7"/>
  </sheets>
  <definedNames/>
  <calcPr/>
</workbook>
</file>

<file path=xl/sharedStrings.xml><?xml version="1.0" encoding="utf-8"?>
<sst xmlns="http://schemas.openxmlformats.org/spreadsheetml/2006/main" count="108" uniqueCount="91">
  <si>
    <t>Model Component</t>
  </si>
  <si>
    <t>Source</t>
  </si>
  <si>
    <t>Methodology</t>
  </si>
  <si>
    <t>Purpose</t>
  </si>
  <si>
    <t>Market Definition / Scope</t>
  </si>
  <si>
    <t>Data Status</t>
  </si>
  <si>
    <t>Forecast Year</t>
  </si>
  <si>
    <t>Market Definition</t>
  </si>
  <si>
    <t>Enterprise agentic AI software and platforms</t>
  </si>
  <si>
    <t>Published Estimate</t>
  </si>
  <si>
    <t>Keep scope consistent</t>
  </si>
  <si>
    <t>Defined</t>
  </si>
  <si>
    <t>How to Interpret</t>
  </si>
  <si>
    <t>Base Year</t>
  </si>
  <si>
    <t>Notes</t>
  </si>
  <si>
    <t>Establish starting point</t>
  </si>
  <si>
    <t>To research</t>
  </si>
  <si>
    <t>Gartner</t>
  </si>
  <si>
    <t>Forecast Years</t>
  </si>
  <si>
    <t>Cross-functional AI agents and assistants worldwide</t>
  </si>
  <si>
    <t>2026–2030</t>
  </si>
  <si>
    <t>Project market growth</t>
  </si>
  <si>
    <t>Over USD 23 billion</t>
  </si>
  <si>
    <t>Focused benchmark for cross-functional agents and assistants</t>
  </si>
  <si>
    <t>Primary Approach</t>
  </si>
  <si>
    <t>Bottom-up estimation</t>
  </si>
  <si>
    <t>Estimate spending from enterprise demand</t>
  </si>
  <si>
    <t>Planned</t>
  </si>
  <si>
    <t>Gartner — USD 23 billion by 2030: Cross-functional AI agents and assistants.</t>
  </si>
  <si>
    <t>Cross-Check</t>
  </si>
  <si>
    <t>Supply-side evidence and published benchmarks</t>
  </si>
  <si>
    <t>Test reasonableness</t>
  </si>
  <si>
    <t>Currency</t>
  </si>
  <si>
    <t>USD millions</t>
  </si>
  <si>
    <t>Standardize all estimates</t>
  </si>
  <si>
    <t>Forecast Scenarios</t>
  </si>
  <si>
    <t>Low, Base, High</t>
  </si>
  <si>
    <t>Show uncertainty</t>
  </si>
  <si>
    <t>Key Limitation</t>
  </si>
  <si>
    <t>Vendor-specific agent revenue is often undisclosed</t>
  </si>
  <si>
    <t>Prevent false precision</t>
  </si>
  <si>
    <t>To validate</t>
  </si>
  <si>
    <t>Agentic AI software spending across software markets</t>
  </si>
  <si>
    <t>USD 985 billion</t>
  </si>
  <si>
    <t>Broad software-market forecast; scope differs from a standalone agent-platform market</t>
  </si>
  <si>
    <t>Gartner — USD 985 billion by 2030: Broader agentic AI software-spending forecast; not directly comparable with the narrower market.</t>
  </si>
  <si>
    <t>Worldwide AI Agents and Assistants spending; broader scope than enterprise agentic AI platforms</t>
  </si>
  <si>
    <t>USD 16.481 billion</t>
  </si>
  <si>
    <t>Published spending forecast; use as a broad cross-check only</t>
  </si>
  <si>
    <t>USD 29.219 billion</t>
  </si>
  <si>
    <t>USD 65.472 billion</t>
  </si>
  <si>
    <t>CB Insights</t>
  </si>
  <si>
    <t>Enterprise AI agents and copilots; broader than our defined enterprise agentic AI platform market</t>
  </si>
  <si>
    <t>USD 13 billion projected annual revenue</t>
  </si>
  <si>
    <t>April 2025 projection; not a confirmed actual 2025 result; includes agents and copilots</t>
  </si>
  <si>
    <t>CB Insights — USD 13 billion in 2025: A projection for enterprise AI agents and copilots, not a confirmed actual result.</t>
  </si>
  <si>
    <t>IDC</t>
  </si>
  <si>
    <t>Worldwide agentic AI platforms</t>
  </si>
  <si>
    <t>USD 41.5 billion</t>
  </si>
  <si>
    <t>Published forecast; reported 2025 base USD 2.6 billion; 74.6% CAGR; full report paid; use as a comparison benchmark</t>
  </si>
  <si>
    <t>IDC — USD 2.6 billion in 2025 and USD 41.5 billion in 2030: Published agentic AI platforms benchmark; the underlying report is paid, so the figures are based on a published summary.</t>
  </si>
  <si>
    <t>Metric</t>
  </si>
  <si>
    <t>Value</t>
  </si>
  <si>
    <t>Unit / Note</t>
  </si>
  <si>
    <t>2025 Market Size</t>
  </si>
  <si>
    <t>USD billion; published IDC benchmark</t>
  </si>
  <si>
    <t>2030 Market Size</t>
  </si>
  <si>
    <t>Forecast Period</t>
  </si>
  <si>
    <t>Years</t>
  </si>
  <si>
    <t>Implied CAGR</t>
  </si>
  <si>
    <t>Calculated from rounded market values</t>
  </si>
  <si>
    <t>Published CAGR</t>
  </si>
  <si>
    <t>Reported in published summary</t>
  </si>
  <si>
    <t>Difference</t>
  </si>
  <si>
    <t>Compare calculated and reported CAGR</t>
  </si>
  <si>
    <t>Year</t>
  </si>
  <si>
    <t>Market Size (USD bn)</t>
  </si>
  <si>
    <t>Method</t>
  </si>
  <si>
    <t>Published benchmark</t>
  </si>
  <si>
    <t>Calculated projection</t>
  </si>
  <si>
    <t>Scenario</t>
  </si>
  <si>
    <t>2025 Market Size (USD bn)</t>
  </si>
  <si>
    <t>Annual Growth Assumption</t>
  </si>
  <si>
    <t>2030 Market Size (USD bn)</t>
  </si>
  <si>
    <t>Interpretation</t>
  </si>
  <si>
    <t>Low case</t>
  </si>
  <si>
    <t>Slower enterprise adoption and implementation</t>
  </si>
  <si>
    <t>Base case</t>
  </si>
  <si>
    <t>Strong growth based on published IDC benchmark</t>
  </si>
  <si>
    <t>High case</t>
  </si>
  <si>
    <t>Faster adoption and wider enterprise deployment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</si>
</sst>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theme="1"/>
      <name val="Arial"/>
      <scheme val="minor"/>
    </font>
    <font>
      <sz val="12.0"/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0" numFmtId="0" xfId="0" applyAlignment="1" applyFont="1">
      <alignment readingOrder="0"/>
    </xf>
    <xf borderId="0" fillId="0" fontId="2" numFmtId="0" xfId="0" applyFont="1"/>
    <xf borderId="0" fillId="0" fontId="0" numFmtId="0" xfId="0" applyFont="1"/>
    <xf borderId="0" fillId="0" fontId="3" numFmtId="0" xfId="0" applyFont="1"/>
    <xf borderId="0" fillId="0" fontId="1" numFmtId="0" xfId="0" applyFont="1"/>
    <xf borderId="0" fillId="0" fontId="1" numFmtId="10" xfId="0" applyAlignment="1" applyFont="1" applyNumberFormat="1">
      <alignment readingOrder="0"/>
    </xf>
    <xf borderId="0" fillId="0" fontId="1" numFmtId="10" xfId="0" applyFont="1" applyNumberFormat="1"/>
    <xf borderId="0" fillId="0" fontId="1" numFmtId="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Global Agentic AI Market Forecast, 2025–2030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Forecast_Calculation!$B$9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Forecast_Calculation!$A$10:$A$15</c:f>
            </c:strRef>
          </c:cat>
          <c:val>
            <c:numRef>
              <c:f>Forecast_Calculation!$B$10:$B$15</c:f>
              <c:numCache/>
            </c:numRef>
          </c:val>
          <c:smooth val="0"/>
        </c:ser>
        <c:axId val="1990813060"/>
        <c:axId val="1355205612"/>
      </c:lineChart>
      <c:catAx>
        <c:axId val="19908130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55205612"/>
      </c:catAx>
      <c:valAx>
        <c:axId val="135520561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Market size (USD billion)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9081306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Agentic AI Market Forecast Scenarios, 2030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Forecast_Calculation!$D$18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Forecast_Calculation!$A$19:$A$21</c:f>
            </c:strRef>
          </c:cat>
          <c:val>
            <c:numRef>
              <c:f>Forecast_Calculation!$D$19:$D$21</c:f>
              <c:numCache/>
            </c:numRef>
          </c:val>
        </c:ser>
        <c:axId val="894820358"/>
        <c:axId val="1037139930"/>
      </c:barChart>
      <c:catAx>
        <c:axId val="89482035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37139930"/>
      </c:catAx>
      <c:valAx>
        <c:axId val="103713993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Market size (USD billion)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9482035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9525</xdr:colOff>
      <xdr:row>0</xdr:row>
      <xdr:rowOff>123825</xdr:rowOff>
    </xdr:from>
    <xdr:ext cx="5715000" cy="29813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600075</xdr:colOff>
      <xdr:row>21</xdr:row>
      <xdr:rowOff>85725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3</v>
      </c>
      <c r="D1" s="1" t="s">
        <v>5</v>
      </c>
    </row>
    <row r="2">
      <c r="A2" s="1" t="s">
        <v>7</v>
      </c>
      <c r="B2" s="1" t="s">
        <v>8</v>
      </c>
      <c r="C2" s="1" t="s">
        <v>10</v>
      </c>
      <c r="D2" s="1" t="s">
        <v>11</v>
      </c>
    </row>
    <row r="3">
      <c r="A3" s="1" t="s">
        <v>13</v>
      </c>
      <c r="B3" s="1">
        <v>2025.0</v>
      </c>
      <c r="C3" s="1" t="s">
        <v>15</v>
      </c>
      <c r="D3" s="1" t="s">
        <v>16</v>
      </c>
    </row>
    <row r="4">
      <c r="A4" s="1" t="s">
        <v>18</v>
      </c>
      <c r="B4" s="1" t="s">
        <v>20</v>
      </c>
      <c r="C4" s="1" t="s">
        <v>21</v>
      </c>
      <c r="D4" s="1" t="s">
        <v>11</v>
      </c>
    </row>
    <row r="5">
      <c r="A5" s="1" t="s">
        <v>24</v>
      </c>
      <c r="B5" s="1" t="s">
        <v>25</v>
      </c>
      <c r="C5" s="1" t="s">
        <v>26</v>
      </c>
      <c r="D5" s="1" t="s">
        <v>27</v>
      </c>
    </row>
    <row r="6">
      <c r="A6" s="1" t="s">
        <v>29</v>
      </c>
      <c r="B6" s="1" t="s">
        <v>30</v>
      </c>
      <c r="C6" s="1" t="s">
        <v>31</v>
      </c>
      <c r="D6" s="1" t="s">
        <v>27</v>
      </c>
    </row>
    <row r="7">
      <c r="A7" s="1" t="s">
        <v>32</v>
      </c>
      <c r="B7" s="1" t="s">
        <v>33</v>
      </c>
      <c r="C7" s="1" t="s">
        <v>34</v>
      </c>
      <c r="D7" s="1" t="s">
        <v>11</v>
      </c>
    </row>
    <row r="8">
      <c r="A8" s="1" t="s">
        <v>35</v>
      </c>
      <c r="B8" s="1" t="s">
        <v>36</v>
      </c>
      <c r="C8" s="1" t="s">
        <v>37</v>
      </c>
      <c r="D8" s="1" t="s">
        <v>27</v>
      </c>
    </row>
    <row r="9">
      <c r="A9" s="1" t="s">
        <v>38</v>
      </c>
      <c r="B9" s="1" t="s">
        <v>39</v>
      </c>
      <c r="C9" s="1" t="s">
        <v>40</v>
      </c>
      <c r="D9" s="1" t="s">
        <v>41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65.13"/>
  </cols>
  <sheetData>
    <row r="1">
      <c r="A1" s="1" t="s">
        <v>1</v>
      </c>
      <c r="B1" s="1" t="s">
        <v>4</v>
      </c>
      <c r="C1" s="1" t="s">
        <v>6</v>
      </c>
      <c r="D1" s="1" t="s">
        <v>9</v>
      </c>
      <c r="E1" s="1" t="s">
        <v>12</v>
      </c>
      <c r="F1" s="1" t="s">
        <v>14</v>
      </c>
    </row>
    <row r="2">
      <c r="A2" s="1" t="s">
        <v>17</v>
      </c>
      <c r="B2" s="1" t="s">
        <v>19</v>
      </c>
      <c r="C2" s="1">
        <v>2030.0</v>
      </c>
      <c r="D2" s="1" t="s">
        <v>22</v>
      </c>
      <c r="E2" s="1" t="s">
        <v>23</v>
      </c>
      <c r="F2" s="2" t="s">
        <v>28</v>
      </c>
    </row>
    <row r="3">
      <c r="A3" s="1" t="s">
        <v>17</v>
      </c>
      <c r="B3" s="1" t="s">
        <v>42</v>
      </c>
      <c r="C3" s="1">
        <v>2030.0</v>
      </c>
      <c r="D3" s="1" t="s">
        <v>43</v>
      </c>
      <c r="E3" s="1" t="s">
        <v>44</v>
      </c>
      <c r="F3" s="2" t="s">
        <v>45</v>
      </c>
    </row>
    <row r="4">
      <c r="A4" s="1" t="s">
        <v>17</v>
      </c>
      <c r="B4" s="1" t="s">
        <v>46</v>
      </c>
      <c r="C4" s="1">
        <v>2025.0</v>
      </c>
      <c r="D4" s="1" t="s">
        <v>47</v>
      </c>
      <c r="E4" s="1" t="s">
        <v>48</v>
      </c>
      <c r="F4" s="3"/>
    </row>
    <row r="5">
      <c r="A5" s="1" t="s">
        <v>17</v>
      </c>
      <c r="B5" s="1" t="s">
        <v>46</v>
      </c>
      <c r="C5" s="1">
        <v>2026.0</v>
      </c>
      <c r="D5" s="1" t="s">
        <v>49</v>
      </c>
      <c r="E5" s="1" t="s">
        <v>48</v>
      </c>
      <c r="F5" s="4"/>
    </row>
    <row r="6">
      <c r="A6" s="1" t="s">
        <v>17</v>
      </c>
      <c r="B6" s="1" t="s">
        <v>46</v>
      </c>
      <c r="C6" s="1">
        <v>2027.0</v>
      </c>
      <c r="D6" s="1" t="s">
        <v>50</v>
      </c>
      <c r="E6" s="1" t="s">
        <v>48</v>
      </c>
      <c r="F6" s="3"/>
    </row>
    <row r="7">
      <c r="A7" s="1" t="s">
        <v>51</v>
      </c>
      <c r="B7" s="1" t="s">
        <v>52</v>
      </c>
      <c r="C7" s="1">
        <v>2025.0</v>
      </c>
      <c r="D7" s="1" t="s">
        <v>53</v>
      </c>
      <c r="E7" s="1" t="s">
        <v>54</v>
      </c>
      <c r="F7" s="2" t="s">
        <v>55</v>
      </c>
    </row>
    <row r="8">
      <c r="A8" s="1" t="s">
        <v>56</v>
      </c>
      <c r="B8" s="1" t="s">
        <v>57</v>
      </c>
      <c r="C8" s="1">
        <v>2030.0</v>
      </c>
      <c r="D8" s="1" t="s">
        <v>58</v>
      </c>
      <c r="E8" s="1" t="s">
        <v>59</v>
      </c>
      <c r="F8" s="2" t="s">
        <v>60</v>
      </c>
    </row>
    <row r="9">
      <c r="F9" s="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61</v>
      </c>
      <c r="B1" s="1" t="s">
        <v>62</v>
      </c>
      <c r="C1" s="1" t="s">
        <v>63</v>
      </c>
    </row>
    <row r="2">
      <c r="A2" s="1" t="s">
        <v>64</v>
      </c>
      <c r="B2" s="1">
        <v>2.6</v>
      </c>
      <c r="C2" s="1" t="s">
        <v>65</v>
      </c>
    </row>
    <row r="3">
      <c r="A3" s="1" t="s">
        <v>66</v>
      </c>
      <c r="B3" s="1">
        <v>41.5</v>
      </c>
      <c r="C3" s="1" t="s">
        <v>65</v>
      </c>
    </row>
    <row r="4">
      <c r="A4" s="1" t="s">
        <v>67</v>
      </c>
      <c r="B4" s="1">
        <v>5.0</v>
      </c>
      <c r="C4" s="1" t="s">
        <v>68</v>
      </c>
    </row>
    <row r="5">
      <c r="A5" s="1" t="s">
        <v>69</v>
      </c>
      <c r="B5" s="6">
        <f>(B3/B2)^(1/B4)-1</f>
        <v>0.7402632527</v>
      </c>
      <c r="C5" s="1" t="s">
        <v>70</v>
      </c>
    </row>
    <row r="6">
      <c r="A6" s="1" t="s">
        <v>71</v>
      </c>
      <c r="B6" s="7">
        <v>0.746</v>
      </c>
      <c r="C6" s="1" t="s">
        <v>72</v>
      </c>
    </row>
    <row r="7">
      <c r="A7" s="1" t="s">
        <v>73</v>
      </c>
      <c r="B7" s="8">
        <f>B5-B6</f>
        <v>-0.005736747293</v>
      </c>
      <c r="C7" s="1" t="s">
        <v>74</v>
      </c>
    </row>
    <row r="9">
      <c r="A9" s="1" t="s">
        <v>75</v>
      </c>
      <c r="B9" s="1" t="s">
        <v>76</v>
      </c>
      <c r="C9" s="1" t="s">
        <v>77</v>
      </c>
    </row>
    <row r="10">
      <c r="A10" s="1">
        <v>2025.0</v>
      </c>
      <c r="B10" s="1">
        <v>2.6</v>
      </c>
      <c r="C10" s="1" t="s">
        <v>78</v>
      </c>
    </row>
    <row r="11">
      <c r="A11" s="1">
        <v>2026.0</v>
      </c>
      <c r="B11" s="6">
        <f t="shared" ref="B11:B15" si="1">B10*(1+$B$6)</f>
        <v>4.5396</v>
      </c>
      <c r="C11" s="1" t="s">
        <v>79</v>
      </c>
    </row>
    <row r="12">
      <c r="A12" s="1">
        <v>2027.0</v>
      </c>
      <c r="B12" s="6">
        <f t="shared" si="1"/>
        <v>7.9261416</v>
      </c>
      <c r="C12" s="1" t="s">
        <v>79</v>
      </c>
    </row>
    <row r="13">
      <c r="A13" s="1">
        <v>2028.0</v>
      </c>
      <c r="B13" s="6">
        <f t="shared" si="1"/>
        <v>13.83904323</v>
      </c>
      <c r="C13" s="1" t="s">
        <v>79</v>
      </c>
    </row>
    <row r="14">
      <c r="A14" s="1">
        <v>2029.0</v>
      </c>
      <c r="B14" s="6">
        <f t="shared" si="1"/>
        <v>24.16296949</v>
      </c>
      <c r="C14" s="1" t="s">
        <v>79</v>
      </c>
    </row>
    <row r="15">
      <c r="A15" s="1">
        <v>2030.0</v>
      </c>
      <c r="B15" s="6">
        <f t="shared" si="1"/>
        <v>42.18854472</v>
      </c>
      <c r="C15" s="1" t="s">
        <v>79</v>
      </c>
    </row>
    <row r="18">
      <c r="A18" s="1" t="s">
        <v>80</v>
      </c>
      <c r="B18" s="1" t="s">
        <v>81</v>
      </c>
      <c r="C18" s="1" t="s">
        <v>82</v>
      </c>
      <c r="D18" s="1" t="s">
        <v>83</v>
      </c>
      <c r="E18" s="1" t="s">
        <v>84</v>
      </c>
    </row>
    <row r="19">
      <c r="A19" s="1" t="s">
        <v>85</v>
      </c>
      <c r="B19" s="1">
        <v>2.6</v>
      </c>
      <c r="C19" s="9">
        <v>0.5</v>
      </c>
      <c r="D19" s="4">
        <f t="shared" ref="D19:D21" si="2">B19*(1+C19)^5</f>
        <v>19.74375</v>
      </c>
      <c r="E19" s="1" t="s">
        <v>86</v>
      </c>
    </row>
    <row r="20">
      <c r="A20" s="1" t="s">
        <v>87</v>
      </c>
      <c r="B20" s="1">
        <v>2.6</v>
      </c>
      <c r="C20" s="7">
        <v>0.746</v>
      </c>
      <c r="D20" s="4">
        <f t="shared" si="2"/>
        <v>42.18854472</v>
      </c>
      <c r="E20" s="1" t="s">
        <v>88</v>
      </c>
    </row>
    <row r="21">
      <c r="A21" s="1" t="s">
        <v>89</v>
      </c>
      <c r="B21" s="1">
        <v>2.6</v>
      </c>
      <c r="C21" s="9">
        <v>0.85</v>
      </c>
      <c r="D21" s="4">
        <f t="shared" si="2"/>
        <v>56.34196506</v>
      </c>
      <c r="E21" s="1" t="s">
        <v>90</v>
      </c>
    </row>
  </sheetData>
  <drawing r:id="rId1"/>
</worksheet>
</file>